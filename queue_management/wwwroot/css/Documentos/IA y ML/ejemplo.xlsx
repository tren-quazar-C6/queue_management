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gro\Documents\"/>
    </mc:Choice>
  </mc:AlternateContent>
  <xr:revisionPtr revIDLastSave="0" documentId="8_{CD87D695-8BDE-4D37-8366-FBE264F9BB5C}" xr6:coauthVersionLast="47" xr6:coauthVersionMax="47" xr10:uidLastSave="{00000000-0000-0000-0000-000000000000}"/>
  <bookViews>
    <workbookView xWindow="-120" yWindow="-120" windowWidth="29040" windowHeight="15840" xr2:uid="{C49700C8-BF76-49F3-B9CD-8CE980FB7D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H27" i="1" s="1"/>
  <c r="D28" i="1"/>
  <c r="D30" i="1" s="1"/>
  <c r="D31" i="1" s="1"/>
  <c r="D29" i="1"/>
  <c r="L16" i="1"/>
  <c r="L3" i="1"/>
  <c r="L2" i="1"/>
  <c r="L9" i="1"/>
  <c r="L8" i="1"/>
  <c r="L7" i="1"/>
  <c r="L6" i="1"/>
  <c r="L5" i="1"/>
  <c r="L4" i="1"/>
  <c r="D7" i="1"/>
  <c r="D3" i="1"/>
  <c r="D4" i="1"/>
  <c r="D5" i="1"/>
  <c r="L11" i="1"/>
  <c r="L12" i="1"/>
  <c r="L10" i="1"/>
  <c r="L13" i="1"/>
  <c r="D6" i="1"/>
  <c r="L14" i="1"/>
  <c r="D2" i="1"/>
</calcChain>
</file>

<file path=xl/sharedStrings.xml><?xml version="1.0" encoding="utf-8"?>
<sst xmlns="http://schemas.openxmlformats.org/spreadsheetml/2006/main" count="29" uniqueCount="27">
  <si>
    <t>Leche montefrio</t>
  </si>
  <si>
    <t>Leche colanta</t>
  </si>
  <si>
    <t xml:space="preserve">Mantequilla </t>
  </si>
  <si>
    <t>Mora</t>
  </si>
  <si>
    <t>valor unitario</t>
  </si>
  <si>
    <t>cantidad</t>
  </si>
  <si>
    <t>producto</t>
  </si>
  <si>
    <t>piña</t>
  </si>
  <si>
    <t>cuajada</t>
  </si>
  <si>
    <t>azucar</t>
  </si>
  <si>
    <t>concentrados</t>
  </si>
  <si>
    <t>Total</t>
  </si>
  <si>
    <t>bocadillo</t>
  </si>
  <si>
    <t>Cocos</t>
  </si>
  <si>
    <t>Fresas</t>
  </si>
  <si>
    <t>fecula de maiz</t>
  </si>
  <si>
    <t>mani</t>
  </si>
  <si>
    <t>salsa de chocolate</t>
  </si>
  <si>
    <t>salsa de arequipe</t>
  </si>
  <si>
    <t>chispitas de chocolate</t>
  </si>
  <si>
    <t>uvas pasas</t>
  </si>
  <si>
    <t>Vasos</t>
  </si>
  <si>
    <t>Palitos</t>
  </si>
  <si>
    <t>Cantidad de cremas</t>
  </si>
  <si>
    <t>Total directos</t>
  </si>
  <si>
    <t>Total Indirectos</t>
  </si>
  <si>
    <t>Valor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</si>
</sst>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C69A-E8C8-420C-A361-1CC3B23E5E6E}">
  <dimension ref="A1:L31"/>
  <sheetViews>
    <sheetView tabSelected="1" workbookViewId="0">
      <selection activeCell="L27" sqref="L27"/>
    </sheetView>
  </sheetViews>
  <sheetFormatPr baseColWidth="10" defaultRowHeight="15" x14ac:dyDescent="0.25"/>
  <cols>
    <col min="1" max="1" width="29.140625" customWidth="1"/>
    <col min="3" max="3" width="18" customWidth="1"/>
    <col min="4" max="4" width="12" bestFit="1" customWidth="1"/>
    <col min="8" max="8" width="11" customWidth="1"/>
    <col min="9" max="9" width="28" customWidth="1"/>
  </cols>
  <sheetData>
    <row r="1" spans="1:12" x14ac:dyDescent="0.25">
      <c r="A1" t="s">
        <v>6</v>
      </c>
      <c r="B1" t="s">
        <v>5</v>
      </c>
      <c r="C1" t="s">
        <v>4</v>
      </c>
      <c r="D1" t="s">
        <v>11</v>
      </c>
    </row>
    <row r="2" spans="1:12" x14ac:dyDescent="0.25">
      <c r="A2" t="s">
        <v>0</v>
      </c>
      <c r="B2">
        <v>15</v>
      </c>
      <c r="C2" s="1">
        <v>3500</v>
      </c>
      <c r="D2" s="1">
        <f>B2*C2</f>
        <v>52500</v>
      </c>
      <c r="I2" t="s">
        <v>21</v>
      </c>
      <c r="J2">
        <v>4</v>
      </c>
      <c r="K2" s="1">
        <v>9000</v>
      </c>
      <c r="L2" s="1">
        <f>J2*K2</f>
        <v>36000</v>
      </c>
    </row>
    <row r="3" spans="1:12" x14ac:dyDescent="0.25">
      <c r="A3" t="s">
        <v>1</v>
      </c>
      <c r="B3">
        <v>5</v>
      </c>
      <c r="C3" s="1">
        <v>3700</v>
      </c>
      <c r="D3" s="1">
        <f t="shared" ref="D3:D20" si="0">B3*C3</f>
        <v>18500</v>
      </c>
      <c r="I3" t="s">
        <v>22</v>
      </c>
      <c r="J3">
        <v>1</v>
      </c>
      <c r="K3" s="1">
        <v>17000</v>
      </c>
      <c r="L3" s="1">
        <f>J3*K3</f>
        <v>17000</v>
      </c>
    </row>
    <row r="4" spans="1:12" x14ac:dyDescent="0.25">
      <c r="A4" t="s">
        <v>2</v>
      </c>
      <c r="B4">
        <v>5</v>
      </c>
      <c r="C4" s="1">
        <v>4500</v>
      </c>
      <c r="D4" s="1">
        <f t="shared" si="0"/>
        <v>22500</v>
      </c>
      <c r="I4" t="s">
        <v>17</v>
      </c>
      <c r="J4">
        <v>2</v>
      </c>
      <c r="K4" s="1">
        <v>8700</v>
      </c>
      <c r="L4" s="1">
        <f>J4*K4</f>
        <v>17400</v>
      </c>
    </row>
    <row r="5" spans="1:12" x14ac:dyDescent="0.25">
      <c r="A5" t="s">
        <v>13</v>
      </c>
      <c r="B5">
        <v>2</v>
      </c>
      <c r="C5" s="1">
        <v>6000</v>
      </c>
      <c r="D5" s="1">
        <f t="shared" si="0"/>
        <v>12000</v>
      </c>
      <c r="I5" t="s">
        <v>18</v>
      </c>
      <c r="J5">
        <v>2</v>
      </c>
      <c r="K5" s="1">
        <v>8250</v>
      </c>
      <c r="L5" s="1">
        <f>J5*K5</f>
        <v>16500</v>
      </c>
    </row>
    <row r="6" spans="1:12" x14ac:dyDescent="0.25">
      <c r="A6" t="s">
        <v>9</v>
      </c>
      <c r="B6">
        <v>4</v>
      </c>
      <c r="C6" s="1">
        <v>6000</v>
      </c>
      <c r="D6" s="1">
        <f>B6*C6</f>
        <v>24000</v>
      </c>
      <c r="I6" t="s">
        <v>15</v>
      </c>
      <c r="J6">
        <v>2</v>
      </c>
      <c r="K6" s="1">
        <v>4700</v>
      </c>
      <c r="L6" s="1">
        <f>J6*K6</f>
        <v>9400</v>
      </c>
    </row>
    <row r="7" spans="1:12" x14ac:dyDescent="0.25">
      <c r="A7" t="s">
        <v>12</v>
      </c>
      <c r="B7">
        <v>2</v>
      </c>
      <c r="C7" s="1">
        <v>4600</v>
      </c>
      <c r="D7" s="1">
        <f>B7*C7</f>
        <v>9200</v>
      </c>
      <c r="I7" t="s">
        <v>16</v>
      </c>
      <c r="J7">
        <v>1</v>
      </c>
      <c r="K7" s="1">
        <v>8800</v>
      </c>
      <c r="L7" s="1">
        <f>J7*K7</f>
        <v>8800</v>
      </c>
    </row>
    <row r="8" spans="1:12" x14ac:dyDescent="0.25">
      <c r="I8" t="s">
        <v>19</v>
      </c>
      <c r="J8">
        <v>1</v>
      </c>
      <c r="K8" s="1">
        <v>17300</v>
      </c>
      <c r="L8" s="1">
        <f>J8*K8</f>
        <v>17300</v>
      </c>
    </row>
    <row r="9" spans="1:12" x14ac:dyDescent="0.25">
      <c r="I9" t="s">
        <v>20</v>
      </c>
      <c r="J9">
        <v>1</v>
      </c>
      <c r="K9" s="1">
        <v>8950</v>
      </c>
      <c r="L9" s="1">
        <f>J9*K9</f>
        <v>8950</v>
      </c>
    </row>
    <row r="10" spans="1:12" x14ac:dyDescent="0.25">
      <c r="I10" t="s">
        <v>7</v>
      </c>
      <c r="J10">
        <v>1</v>
      </c>
      <c r="K10" s="1">
        <v>22850</v>
      </c>
      <c r="L10" s="1">
        <f>J10*K10</f>
        <v>22850</v>
      </c>
    </row>
    <row r="11" spans="1:12" x14ac:dyDescent="0.25">
      <c r="I11" t="s">
        <v>14</v>
      </c>
      <c r="J11">
        <v>2</v>
      </c>
      <c r="K11" s="1">
        <v>8000</v>
      </c>
      <c r="L11" s="1">
        <f>J11*K11</f>
        <v>16000</v>
      </c>
    </row>
    <row r="12" spans="1:12" x14ac:dyDescent="0.25">
      <c r="I12" t="s">
        <v>3</v>
      </c>
      <c r="J12">
        <v>1</v>
      </c>
      <c r="K12" s="1">
        <v>16000</v>
      </c>
      <c r="L12" s="1">
        <f>J12*K12</f>
        <v>16000</v>
      </c>
    </row>
    <row r="13" spans="1:12" x14ac:dyDescent="0.25">
      <c r="I13" t="s">
        <v>8</v>
      </c>
      <c r="J13">
        <v>3</v>
      </c>
      <c r="K13" s="1">
        <v>22500</v>
      </c>
      <c r="L13" s="1">
        <f>J13*K13</f>
        <v>67500</v>
      </c>
    </row>
    <row r="14" spans="1:12" x14ac:dyDescent="0.25">
      <c r="I14" t="s">
        <v>10</v>
      </c>
      <c r="J14">
        <v>3</v>
      </c>
      <c r="K14" s="1">
        <v>2800</v>
      </c>
      <c r="L14" s="1">
        <f>J14*K14</f>
        <v>8400</v>
      </c>
    </row>
    <row r="16" spans="1:12" x14ac:dyDescent="0.25">
      <c r="I16" t="s">
        <v>11</v>
      </c>
      <c r="L16" s="2">
        <f>SUM(L2:L14)</f>
        <v>262100</v>
      </c>
    </row>
    <row r="22" spans="1:9" x14ac:dyDescent="0.25">
      <c r="C22" s="1"/>
      <c r="D22" s="1"/>
    </row>
    <row r="23" spans="1:9" x14ac:dyDescent="0.25">
      <c r="C23" s="1"/>
      <c r="D23" s="1"/>
    </row>
    <row r="24" spans="1:9" x14ac:dyDescent="0.25">
      <c r="C24" s="1"/>
      <c r="D24" s="1"/>
    </row>
    <row r="27" spans="1:9" x14ac:dyDescent="0.25">
      <c r="A27" t="s">
        <v>23</v>
      </c>
      <c r="D27">
        <v>106</v>
      </c>
      <c r="F27">
        <v>2500</v>
      </c>
      <c r="G27">
        <f>D27*F27</f>
        <v>265000</v>
      </c>
      <c r="H27" s="2">
        <f>G27-D28</f>
        <v>126300</v>
      </c>
      <c r="I27" s="2"/>
    </row>
    <row r="28" spans="1:9" x14ac:dyDescent="0.25">
      <c r="A28" t="s">
        <v>24</v>
      </c>
      <c r="D28" s="2">
        <f>SUM(D2:D20)</f>
        <v>138700</v>
      </c>
    </row>
    <row r="29" spans="1:9" x14ac:dyDescent="0.25">
      <c r="A29" t="s">
        <v>25</v>
      </c>
      <c r="D29" s="2">
        <f>L16</f>
        <v>262100</v>
      </c>
    </row>
    <row r="30" spans="1:9" x14ac:dyDescent="0.25">
      <c r="A30" t="s">
        <v>11</v>
      </c>
      <c r="D30" s="2">
        <f>SUM(D28:D29)</f>
        <v>400800</v>
      </c>
    </row>
    <row r="31" spans="1:9" x14ac:dyDescent="0.25">
      <c r="A31" t="s">
        <v>26</v>
      </c>
      <c r="D31" s="2">
        <f>AVERAGE(D30,D27)</f>
        <v>200453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perez ruiz</dc:creator>
  <cp:lastModifiedBy>yonathan perez ruiz</cp:lastModifiedBy>
  <dcterms:created xsi:type="dcterms:W3CDTF">2024-08-15T17:37:49Z</dcterms:created>
  <dcterms:modified xsi:type="dcterms:W3CDTF">2024-08-15T19:05:47Z</dcterms:modified>
</cp:coreProperties>
</file>